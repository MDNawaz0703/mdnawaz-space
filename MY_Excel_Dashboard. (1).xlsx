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ohammed Nawaz\Downloads\"/>
    </mc:Choice>
  </mc:AlternateContent>
  <xr:revisionPtr revIDLastSave="0" documentId="8_{48E1D450-46C5-4615-A983-C7BA7D4D2F77}" xr6:coauthVersionLast="47" xr6:coauthVersionMax="47" xr10:uidLastSave="{00000000-0000-0000-0000-000000000000}"/>
  <bookViews>
    <workbookView xWindow="-108" yWindow="-108" windowWidth="23256" windowHeight="12456" xr2:uid="{70ACAC83-B6EE-42B5-A328-DA2A1778AA38}"/>
  </bookViews>
  <sheets>
    <sheet name="DASHBOARD" sheetId="4" r:id="rId1"/>
    <sheet name="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8" i="1"/>
  <c r="L19" i="1"/>
  <c r="L20" i="1"/>
  <c r="L21" i="1"/>
  <c r="L22" i="1"/>
  <c r="L23" i="1"/>
  <c r="L24" i="1"/>
  <c r="L25" i="1"/>
  <c r="L26" i="1"/>
  <c r="L2" i="1"/>
  <c r="K18" i="1"/>
  <c r="K19" i="1"/>
  <c r="K20" i="1"/>
  <c r="K21" i="1"/>
  <c r="K22" i="1"/>
  <c r="K23" i="1"/>
  <c r="K24" i="1"/>
  <c r="K25" i="1"/>
  <c r="K26" i="1"/>
  <c r="K3" i="1"/>
  <c r="K4" i="1"/>
  <c r="K5" i="1"/>
  <c r="K6" i="1"/>
  <c r="K7" i="1"/>
  <c r="K8" i="1"/>
  <c r="K9" i="1"/>
  <c r="K10" i="1"/>
  <c r="K11" i="1"/>
  <c r="K12" i="1"/>
  <c r="K13" i="1"/>
  <c r="K14" i="1"/>
  <c r="K15" i="1"/>
  <c r="K16" i="1"/>
  <c r="K2" i="1"/>
  <c r="I3" i="1"/>
  <c r="I4" i="1"/>
  <c r="I5" i="1"/>
  <c r="I6" i="1"/>
  <c r="I7" i="1"/>
  <c r="I8" i="1"/>
  <c r="I9" i="1"/>
  <c r="I10" i="1"/>
  <c r="I11" i="1"/>
  <c r="I12" i="1"/>
  <c r="I13" i="1"/>
  <c r="I14" i="1"/>
  <c r="I15" i="1"/>
  <c r="I16" i="1"/>
  <c r="I17" i="1"/>
  <c r="K17" i="1" s="1"/>
  <c r="I18" i="1"/>
  <c r="I19" i="1"/>
  <c r="I20" i="1"/>
  <c r="I21" i="1"/>
  <c r="I22" i="1"/>
  <c r="I23" i="1"/>
  <c r="I24" i="1"/>
  <c r="I25" i="1"/>
  <c r="I26" i="1"/>
  <c r="I2" i="1"/>
  <c r="L17" i="1" l="1"/>
</calcChain>
</file>

<file path=xl/sharedStrings.xml><?xml version="1.0" encoding="utf-8"?>
<sst xmlns="http://schemas.openxmlformats.org/spreadsheetml/2006/main" count="103" uniqueCount="84">
  <si>
    <t>Emp Code</t>
  </si>
  <si>
    <t>Sales Executive</t>
  </si>
  <si>
    <t xml:space="preserve">Region </t>
  </si>
  <si>
    <t>Day1</t>
  </si>
  <si>
    <t>Day2</t>
  </si>
  <si>
    <t>Day3</t>
  </si>
  <si>
    <t>Day4</t>
  </si>
  <si>
    <t>Day5</t>
  </si>
  <si>
    <t>Total Sales</t>
  </si>
  <si>
    <t>Target</t>
  </si>
  <si>
    <t>Target Hit%</t>
  </si>
  <si>
    <t>Away from Target %</t>
  </si>
  <si>
    <t>BLR-TCL001</t>
  </si>
  <si>
    <t>BLR-TCL002</t>
  </si>
  <si>
    <t>BLR-TCL003</t>
  </si>
  <si>
    <t>BLR-TCL004</t>
  </si>
  <si>
    <t>BLR-TCL005</t>
  </si>
  <si>
    <t>BLR-TCL006</t>
  </si>
  <si>
    <t>BLR-TCL007</t>
  </si>
  <si>
    <t>BLR-TCL008</t>
  </si>
  <si>
    <t>BLR-TCL009</t>
  </si>
  <si>
    <t>BLR-TCL010</t>
  </si>
  <si>
    <t>BLR-TCL011</t>
  </si>
  <si>
    <t>BLR-TCL012</t>
  </si>
  <si>
    <t>BLR-TCL013</t>
  </si>
  <si>
    <t>BLR-TCL014</t>
  </si>
  <si>
    <t>BLR-TCL015</t>
  </si>
  <si>
    <t>BLR-TCL016</t>
  </si>
  <si>
    <t>BLR-TCL017</t>
  </si>
  <si>
    <t>BLR-TCL018</t>
  </si>
  <si>
    <t>BLR-TCL019</t>
  </si>
  <si>
    <t>BLR-TCL020</t>
  </si>
  <si>
    <t>BLR-TCL021</t>
  </si>
  <si>
    <t>BLR-TCL022</t>
  </si>
  <si>
    <t>BLR-TCL023</t>
  </si>
  <si>
    <t>BLR-TCL024</t>
  </si>
  <si>
    <t>BLR-TCL025</t>
  </si>
  <si>
    <t>Tilak Verma</t>
  </si>
  <si>
    <t xml:space="preserve">Samreen </t>
  </si>
  <si>
    <t>Shreyas M.R</t>
  </si>
  <si>
    <t>Santosh Kumar</t>
  </si>
  <si>
    <t>Neha C.K</t>
  </si>
  <si>
    <t>Vipal Pandey</t>
  </si>
  <si>
    <t>Krunal Singh</t>
  </si>
  <si>
    <t>Lokesh Kanagaraj</t>
  </si>
  <si>
    <t>Karthik Hegde</t>
  </si>
  <si>
    <t>Pooja K</t>
  </si>
  <si>
    <t>Parinitha Gowda</t>
  </si>
  <si>
    <t>Suriya</t>
  </si>
  <si>
    <t>Mohammed Bilal</t>
  </si>
  <si>
    <t>Mohammed Shazi</t>
  </si>
  <si>
    <t>Anupama</t>
  </si>
  <si>
    <t>Sunil Kumar</t>
  </si>
  <si>
    <t>Satish Gowda</t>
  </si>
  <si>
    <t>Keerthi J</t>
  </si>
  <si>
    <t>Sanvika</t>
  </si>
  <si>
    <t>Vijay Kumar</t>
  </si>
  <si>
    <t>Anirudh</t>
  </si>
  <si>
    <t>Mahi</t>
  </si>
  <si>
    <t>Suresh Gowda</t>
  </si>
  <si>
    <t>Irfan K.L</t>
  </si>
  <si>
    <t>Mahesh Babu</t>
  </si>
  <si>
    <t>Mumbai</t>
  </si>
  <si>
    <t xml:space="preserve">Bengaluru </t>
  </si>
  <si>
    <t>Mysore</t>
  </si>
  <si>
    <t>Tumkur</t>
  </si>
  <si>
    <t>Hyderabad</t>
  </si>
  <si>
    <t>Kolkata</t>
  </si>
  <si>
    <t>Punjab</t>
  </si>
  <si>
    <t>Chennai</t>
  </si>
  <si>
    <t>Vizag</t>
  </si>
  <si>
    <t>Hubli</t>
  </si>
  <si>
    <t>Bijapur</t>
  </si>
  <si>
    <t>Jamshedpur</t>
  </si>
  <si>
    <t>Jaipur</t>
  </si>
  <si>
    <t>Vijayawada</t>
  </si>
  <si>
    <t>Delhi</t>
  </si>
  <si>
    <t>Ranchi</t>
  </si>
  <si>
    <t>Kochi</t>
  </si>
  <si>
    <t>Grand Total</t>
  </si>
  <si>
    <t>Target Acheived %</t>
  </si>
  <si>
    <t>Total Value Sales</t>
  </si>
  <si>
    <t>Grand total</t>
  </si>
  <si>
    <t>Away from the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</si>
</sst>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Impact"/>
      <family val="2"/>
      <scheme val="minor"/>
    </font>
    <font>
      <sz val="8"/>
      <name val="Impact"/>
      <family val="2"/>
      <scheme val="minor"/>
    </font>
    <font>
      <sz val="8"/>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2" borderId="0" xfId="0" applyFill="1" applyAlignment="1">
      <alignment horizontal="center"/>
    </xf>
    <xf numFmtId="2" fontId="0" fillId="0" borderId="0" xfId="0" applyNumberFormat="1"/>
    <xf numFmtId="0" fontId="0" fillId="3" borderId="0" xfId="0" applyFill="1"/>
    <xf numFmtId="0" fontId="0" fillId="3" borderId="0" xfId="0" applyFill="1" applyAlignment="1">
      <alignment horizontal="left"/>
    </xf>
    <xf numFmtId="2" fontId="0" fillId="3" borderId="0" xfId="0" applyNumberFormat="1" applyFill="1"/>
    <xf numFmtId="0" fontId="0" fillId="3" borderId="0" xfId="0" applyNumberFormat="1" applyFill="1"/>
  </cellXfs>
  <cellStyles count="1">
    <cellStyle name="Normal" xfId="0" builtinId="0"/>
  </cellStyles>
  <dxfs count="197">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numFmt numFmtId="2" formatCode="0.00"/>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numFmt numFmtId="2" formatCode="0.00"/>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numFmt numFmtId="2" formatCode="0.00"/>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numFmt numFmtId="2" formatCode="0.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theme="0" tint="-0.34998626667073579"/>
        </patternFill>
      </fill>
    </dxf>
  </dxfs>
  <tableStyles count="10" defaultTableStyle="TableStyleMedium2" defaultPivotStyle="PivotStyleLight16">
    <tableStyle name="Slicer Style 1" pivot="0" table="0" count="1" xr9:uid="{E64A383C-0F05-4881-BD74-1818FBE5D870}"/>
    <tableStyle name="Slicer Style 2" pivot="0" table="0" count="0" xr9:uid="{60E34841-A05A-4BF4-A4D5-D25DD0A108B4}"/>
    <tableStyle name="Slicer Style 3" pivot="0" table="0" count="1" xr9:uid="{CAC0C86F-261D-4C00-97A4-04CBF245D424}"/>
    <tableStyle name="Slicer Style 4" pivot="0" table="0" count="1" xr9:uid="{F0C496A4-9BAD-4DED-83E3-71FD3E518823}"/>
    <tableStyle name="Slicer Style 5" pivot="0" table="0" count="1" xr9:uid="{9C33D069-9575-475C-995D-59CD7F92D9B1}"/>
    <tableStyle name="Slicer Style 6" pivot="0" table="0" count="1" xr9:uid="{7701A7EA-F464-404F-A277-D22CB80FB5A3}">
      <tableStyleElement type="wholeTable" dxfId="196"/>
    </tableStyle>
    <tableStyle name="Slicer Style 7" pivot="0" table="0" count="1" xr9:uid="{50F29193-4EC4-4ABF-A758-338904D276AC}"/>
    <tableStyle name="Slicer Style 8" pivot="0" table="0" count="1" xr9:uid="{3E29FC1F-92A1-4CC6-B2F9-EB9E86875A10}"/>
    <tableStyle name="Slicer Style 9" pivot="0" table="0" count="1" xr9:uid="{BDC8A0FC-2802-40FF-94DA-6378981FAA50}"/>
    <tableStyle name="slicer1" pivot="0" table="0" count="1" xr9:uid="{B87BC643-9C63-4B59-B382-0637A42B3036}"/>
  </tableStyles>
  <colors>
    <mruColors>
      <color rgb="FF7A9CD2"/>
      <color rgb="FFFFFFCC"/>
    </mruColors>
  </colors>
  <extLst>
    <ext xmlns:x14="http://schemas.microsoft.com/office/spreadsheetml/2009/9/main" uri="{46F421CA-312F-682f-3DD2-61675219B42D}">
      <x14:dxfs count="8">
        <dxf>
          <fill>
            <patternFill>
              <bgColor theme="4"/>
            </patternFill>
          </fill>
        </dxf>
        <dxf>
          <fill>
            <patternFill>
              <bgColor theme="8"/>
            </patternFill>
          </fill>
        </dxf>
        <dxf>
          <fill>
            <patternFill>
              <bgColor theme="4" tint="0.39994506668294322"/>
            </patternFill>
          </fill>
        </dxf>
        <dxf>
          <fill>
            <patternFill>
              <bgColor theme="4"/>
            </patternFill>
          </fill>
        </dxf>
        <dxf>
          <fill>
            <patternFill>
              <bgColor rgb="FF00B0F0"/>
            </patternFill>
          </fill>
        </dxf>
        <dxf>
          <fill>
            <patternFill>
              <bgColor theme="4"/>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1">
        <x14:slicerStyle name="Slicer Style 1">
          <x14:slicerStyleElements>
            <x14:slicerStyleElement type="unselectedItemWithData" dxfId="7"/>
          </x14:slicerStyleElements>
        </x14:slicerStyle>
        <x14:slicerStyle name="Slicer Style 2"/>
        <x14:slicerStyle name="Slicer Style 3">
          <x14:slicerStyleElements>
            <x14:slicerStyleElement type="unselectedItemWithNoData" dxfId="6"/>
          </x14:slicerStyleElements>
        </x14:slicerStyle>
        <x14:slicerStyle name="Slicer Style 4">
          <x14:slicerStyleElements>
            <x14:slicerStyleElement type="selectedItemWithData" dxfId="5"/>
          </x14:slicerStyleElements>
        </x14:slicerStyle>
        <x14:slicerStyle name="Slicer Style 5">
          <x14:slicerStyleElements>
            <x14:slicerStyleElement type="selectedItemWithData" dxfId="4"/>
          </x14:slicerStyleElements>
        </x14:slicerStyle>
        <x14:slicerStyle name="Slicer Style 6"/>
        <x14:slicerStyle name="Slicer Style 7">
          <x14:slicerStyleElements>
            <x14:slicerStyleElement type="selectedItemWithData" dxfId="3"/>
          </x14:slicerStyleElements>
        </x14:slicerStyle>
        <x14:slicerStyle name="Slicer Style 8">
          <x14:slicerStyleElements>
            <x14:slicerStyleElement type="selectedItemWithData" dxfId="2"/>
          </x14:slicerStyleElements>
        </x14:slicerStyle>
        <x14:slicerStyle name="Slicer Style 9">
          <x14:slicerStyleElements>
            <x14:slicerStyleElement type="unselectedItemWithData" dxfId="1"/>
          </x14:slicerStyleElements>
        </x14:slicerStyle>
        <x14:slicerStyle name="slicer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[MY_Excel_Dashboard..xlsx]DASHBOARD!PivotTable9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Total-Value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DASHBOARD!$C$4:$C$5</c:f>
              <c:strCache>
                <c:ptCount val="1"/>
                <c:pt idx="0">
                  <c:v>Satish Gowda</c:v>
                </c:pt>
              </c:strCache>
            </c:strRef>
          </c:cat>
          <c:val>
            <c:numRef>
              <c:f>DASHBOARD!$D$4:$D$5</c:f>
              <c:numCache>
                <c:formatCode>General</c:formatCode>
                <c:ptCount val="1"/>
                <c:pt idx="0">
                  <c:v>271</c:v>
                </c:pt>
              </c:numCache>
            </c:numRef>
          </c:val>
          <c:extLst>
            <c:ext xmlns:c16="http://schemas.microsoft.com/office/drawing/2014/chart" uri="{C3380CC4-5D6E-409C-BE32-E72D297353CC}">
              <c16:uniqueId val="{00000000-5FB8-4635-804F-CF6E13617DE5}"/>
            </c:ext>
          </c:extLst>
        </c:ser>
        <c:dLbls>
          <c:showLegendKey val="0"/>
          <c:showVal val="0"/>
          <c:showCatName val="0"/>
          <c:showSerName val="0"/>
          <c:showPercent val="0"/>
          <c:showBubbleSize val="0"/>
        </c:dLbls>
        <c:gapWidth val="182"/>
        <c:axId val="2081615903"/>
        <c:axId val="2081616863"/>
      </c:barChart>
      <c:catAx>
        <c:axId val="208161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616863"/>
        <c:crosses val="autoZero"/>
        <c:auto val="1"/>
        <c:lblAlgn val="ctr"/>
        <c:lblOffset val="100"/>
        <c:noMultiLvlLbl val="0"/>
      </c:catAx>
      <c:valAx>
        <c:axId val="2081616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6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[MY_Excel_Dashboard..xlsx]DASHBOARD!PivotTable11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Target Acheived %</a:t>
            </a:r>
          </a:p>
        </c:rich>
      </c:tx>
      <c:layout>
        <c:manualLayout>
          <c:xMode val="edge"/>
          <c:yMode val="edge"/>
          <c:x val="0.34911281877156436"/>
          <c:y val="2.94266438565122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outerShdw blurRad="317500" algn="ctr" rotWithShape="0">
              <a:prstClr val="black">
                <a:alpha val="25000"/>
              </a:prstClr>
            </a:outerShdw>
          </a:effectLst>
        </c:spPr>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DASHBOARD!$K$3</c:f>
              <c:strCache>
                <c:ptCount val="1"/>
                <c:pt idx="0">
                  <c:v>Total</c:v>
                </c:pt>
              </c:strCache>
            </c:strRef>
          </c:tx>
          <c:dPt>
            <c:idx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50F-46CE-96AF-A19D8E8998B6}"/>
              </c:ext>
            </c:extLst>
          </c:dPt>
          <c:dPt>
            <c:idx val="1"/>
            <c:bubble3D val="0"/>
            <c:spPr>
              <a:solidFill>
                <a:schemeClr val="accent3">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50F-46CE-96AF-A19D8E8998B6}"/>
              </c:ext>
            </c:extLst>
          </c:dPt>
          <c:dPt>
            <c:idx val="2"/>
            <c:bubble3D val="0"/>
            <c:spPr>
              <a:solidFill>
                <a:schemeClr val="accent3">
                  <a:tint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50F-46CE-96AF-A19D8E8998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DASHBOARD!$J$4:$J$5</c:f>
              <c:strCache>
                <c:ptCount val="1"/>
                <c:pt idx="0">
                  <c:v>Satish Gowda</c:v>
                </c:pt>
              </c:strCache>
            </c:strRef>
          </c:cat>
          <c:val>
            <c:numRef>
              <c:f>DASHBOARD!$K$4:$K$5</c:f>
              <c:numCache>
                <c:formatCode>0.00</c:formatCode>
                <c:ptCount val="1"/>
                <c:pt idx="0">
                  <c:v>54.2</c:v>
                </c:pt>
              </c:numCache>
            </c:numRef>
          </c:val>
          <c:extLst>
            <c:ext xmlns:c16="http://schemas.microsoft.com/office/drawing/2014/chart" uri="{C3380CC4-5D6E-409C-BE32-E72D297353CC}">
              <c16:uniqueId val="{00000000-6D72-4574-83AF-9BAFAF31B7C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Away</a:t>
            </a:r>
            <a:r>
              <a:rPr lang="en-US" baseline="0"/>
              <a:t> from target %</a:t>
            </a:r>
            <a:endParaRPr lang="en-US"/>
          </a:p>
        </c:rich>
      </c:tx>
      <c:layout>
        <c:manualLayout>
          <c:xMode val="edge"/>
          <c:yMode val="edge"/>
          <c:x val="0.3337430008748906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DASHBOARD!$Q$3</c:f>
              <c:strCache>
                <c:ptCount val="1"/>
                <c:pt idx="0">
                  <c:v>Total</c:v>
                </c:pt>
              </c:strCache>
            </c:strRef>
          </c:tx>
          <c:spPr>
            <a:ln w="28575" cap="rnd">
              <a:solidFill>
                <a:schemeClr val="accent1"/>
              </a:solidFill>
              <a:round/>
            </a:ln>
            <a:effectLst/>
          </c:spPr>
          <c:marker>
            <c:symbol val="none"/>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DASHBOARD!$P$4:$P$5</c:f>
              <c:strCache>
                <c:ptCount val="1"/>
                <c:pt idx="0">
                  <c:v>Satish Gowda</c:v>
                </c:pt>
              </c:strCache>
            </c:strRef>
          </c:cat>
          <c:val>
            <c:numRef>
              <c:f>DASHBOARD!$Q$4:$Q$5</c:f>
              <c:numCache>
                <c:formatCode>General</c:formatCode>
                <c:ptCount val="1"/>
                <c:pt idx="0">
                  <c:v>45.800000000000004</c:v>
                </c:pt>
              </c:numCache>
            </c:numRef>
          </c:val>
          <c:smooth val="0"/>
          <c:extLst>
            <c:ext xmlns:c16="http://schemas.microsoft.com/office/drawing/2014/chart" uri="{C3380CC4-5D6E-409C-BE32-E72D297353CC}">
              <c16:uniqueId val="{00000000-9FFF-4367-B9E0-2C3D291C0B2E}"/>
            </c:ext>
          </c:extLst>
        </c:ser>
        <c:dLbls>
          <c:showLegendKey val="0"/>
          <c:showVal val="0"/>
          <c:showCatName val="0"/>
          <c:showSerName val="0"/>
          <c:showPercent val="0"/>
          <c:showBubbleSize val="0"/>
        </c:dLbls>
        <c:smooth val="0"/>
        <c:axId val="183815487"/>
        <c:axId val="183818847"/>
      </c:lineChart>
      <c:catAx>
        <c:axId val="1838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8847"/>
        <c:crosses val="autoZero"/>
        <c:auto val="1"/>
        <c:lblAlgn val="ctr"/>
        <c:lblOffset val="100"/>
        <c:noMultiLvlLbl val="0"/>
      </c:catAx>
      <c:valAx>
        <c:axId val="183818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38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C2"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fmlaLink="F1" lockText="1" noThreeD="1"/>
</file>

<file path=xl/ctrlProps/ctrlProp4.xml><?xml version="1.0" encoding="utf-8"?>
<formControlPr xmlns="http://schemas.microsoft.com/office/spreadsheetml/2009/9/main" objectType="CheckBox" fmlaLink="J1" lockText="1" noThreeD="1"/>
</file>

<file path=xl/ctrlProps/ctrlProp5.xml><?xml version="1.0" encoding="utf-8"?>
<formControlPr xmlns="http://schemas.microsoft.com/office/spreadsheetml/2009/9/main" objectType="CheckBox" fmlaLink="P1" lockText="1" noThreeD="1"/>
</file>

<file path=xl/ctrlProps/ctrlProp6.xml><?xml version="1.0" encoding="utf-8"?>
<formControlPr xmlns="http://schemas.microsoft.com/office/spreadsheetml/2009/9/main" objectType="CheckBox" fmlaLink="C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44824</xdr:colOff>
      <xdr:row>7</xdr:row>
      <xdr:rowOff>229422</xdr:rowOff>
    </xdr:from>
    <xdr:to>
      <xdr:col>5</xdr:col>
      <xdr:colOff>193911</xdr:colOff>
      <xdr:row>19</xdr:row>
      <xdr:rowOff>175316</xdr:rowOff>
    </xdr:to>
    <xdr:graphicFrame macro="">
      <xdr:nvGraphicFramePr>
        <xdr:cNvPr id="2" name="Chart 1">
          <a:extLst>
            <a:ext uri="{FF2B5EF4-FFF2-40B4-BE49-F238E27FC236}">
              <a16:creationId xmlns:a16="http://schemas.microsoft.com/office/drawing/2014/main" id="{1FE69867-6FB9-D9D6-9A42-ADFF821FD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206480</xdr:colOff>
      <xdr:row>8</xdr:row>
      <xdr:rowOff>24834</xdr:rowOff>
    </xdr:from>
    <xdr:to>
      <xdr:col>10</xdr:col>
      <xdr:colOff>71717</xdr:colOff>
      <xdr:row>19</xdr:row>
      <xdr:rowOff>184728</xdr:rowOff>
    </xdr:to>
    <xdr:graphicFrame macro="">
      <xdr:nvGraphicFramePr>
        <xdr:cNvPr id="3" name="Chart 2">
          <a:extLst>
            <a:ext uri="{FF2B5EF4-FFF2-40B4-BE49-F238E27FC236}">
              <a16:creationId xmlns:a16="http://schemas.microsoft.com/office/drawing/2014/main" id="{AEB2B531-87CC-F0BA-88C2-AFCE527BF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23777</xdr:colOff>
      <xdr:row>8</xdr:row>
      <xdr:rowOff>7002</xdr:rowOff>
    </xdr:from>
    <xdr:to>
      <xdr:col>17</xdr:col>
      <xdr:colOff>8965</xdr:colOff>
      <xdr:row>19</xdr:row>
      <xdr:rowOff>184728</xdr:rowOff>
    </xdr:to>
    <xdr:graphicFrame macro="">
      <xdr:nvGraphicFramePr>
        <xdr:cNvPr id="4" name="Chart 3">
          <a:extLst>
            <a:ext uri="{FF2B5EF4-FFF2-40B4-BE49-F238E27FC236}">
              <a16:creationId xmlns:a16="http://schemas.microsoft.com/office/drawing/2014/main" id="{05037C16-F71D-2094-F6E1-22B19270C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17</xdr:col>
      <xdr:colOff>15394</xdr:colOff>
      <xdr:row>0</xdr:row>
      <xdr:rowOff>491216</xdr:rowOff>
    </xdr:to>
    <mc:AlternateContent xmlns:mc="http://schemas.openxmlformats.org/markup-compatibility/2006" xmlns:a14="http://schemas.microsoft.com/office/drawing/2010/main">
      <mc:Choice Requires="a14">
        <xdr:graphicFrame macro="">
          <xdr:nvGraphicFramePr>
            <xdr:cNvPr id="5" name="Region ">
              <a:extLst>
                <a:ext uri="{FF2B5EF4-FFF2-40B4-BE49-F238E27FC236}">
                  <a16:creationId xmlns:a16="http://schemas.microsoft.com/office/drawing/2014/main" id="{34759965-E3AF-1735-5087-5106F6D4F7C8}"/>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mlns="">
        <xdr:sp macro="" textlink="">
          <xdr:nvSpPr>
            <xdr:cNvPr id="0" name=""/>
            <xdr:cNvSpPr>
              <a:spLocks noTextEdit="1"/>
            </xdr:cNvSpPr>
          </xdr:nvSpPr>
          <xdr:spPr>
            <a:xfrm>
              <a:off x="0" y="0"/>
              <a:ext cx="15277979" cy="491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579120</xdr:colOff>
          <xdr:row>1</xdr:row>
          <xdr:rowOff>228600</xdr:rowOff>
        </xdr:from>
        <xdr:to>
          <xdr:col>3</xdr:col>
          <xdr:colOff>672177</xdr:colOff>
          <xdr:row>1</xdr:row>
          <xdr:rowOff>449580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579120</xdr:colOff>
          <xdr:row>1</xdr:row>
          <xdr:rowOff>228600</xdr:rowOff>
        </xdr:from>
        <xdr:to>
          <xdr:col>6</xdr:col>
          <xdr:colOff>672176</xdr:colOff>
          <xdr:row>1</xdr:row>
          <xdr:rowOff>449580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DASJBOARD 1</a:t>
              </a:r>
            </a:p>
          </xdr:txBody>
        </xdr:sp>
        <xdr:clientData/>
      </xdr:twoCellAnchor>
    </mc:Choice>
    <mc:Fallback/>
  </mc:AlternateContent>
  <xdr:twoCellAnchor>
    <xdr:from>
      <xdr:col>5</xdr:col>
      <xdr:colOff>176463</xdr:colOff>
      <xdr:row>1</xdr:row>
      <xdr:rowOff>144379</xdr:rowOff>
    </xdr:from>
    <xdr:to>
      <xdr:col>6</xdr:col>
      <xdr:colOff>770020</xdr:colOff>
      <xdr:row>1</xdr:row>
      <xdr:rowOff>556501</xdr:rowOff>
    </xdr:to>
    <xdr:sp macro="" textlink="">
      <xdr:nvSpPr>
        <xdr:cNvPr id="7" name="Speech Bubble: Rectangle with Corners Rounded 6">
          <a:extLst>
            <a:ext uri="{FF2B5EF4-FFF2-40B4-BE49-F238E27FC236}">
              <a16:creationId xmlns:a16="http://schemas.microsoft.com/office/drawing/2014/main" id="{CD50A853-26C4-4CC7-8334-C5EA02F7DA9D}"/>
            </a:ext>
          </a:extLst>
        </xdr:cNvPr>
        <xdr:cNvSpPr/>
      </xdr:nvSpPr>
      <xdr:spPr>
        <a:xfrm>
          <a:off x="5189621" y="457200"/>
          <a:ext cx="1700462" cy="412122"/>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5</xdr:col>
          <xdr:colOff>396240</xdr:colOff>
          <xdr:row>1</xdr:row>
          <xdr:rowOff>251460</xdr:rowOff>
        </xdr:from>
        <xdr:to>
          <xdr:col>6</xdr:col>
          <xdr:colOff>435956</xdr:colOff>
          <xdr:row>1</xdr:row>
          <xdr:rowOff>472440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9</xdr:col>
      <xdr:colOff>216569</xdr:colOff>
      <xdr:row>1</xdr:row>
      <xdr:rowOff>168442</xdr:rowOff>
    </xdr:from>
    <xdr:to>
      <xdr:col>10</xdr:col>
      <xdr:colOff>842210</xdr:colOff>
      <xdr:row>1</xdr:row>
      <xdr:rowOff>580564</xdr:rowOff>
    </xdr:to>
    <xdr:sp macro="" textlink="">
      <xdr:nvSpPr>
        <xdr:cNvPr id="8" name="Speech Bubble: Rectangle with Corners Rounded 7">
          <a:extLst>
            <a:ext uri="{FF2B5EF4-FFF2-40B4-BE49-F238E27FC236}">
              <a16:creationId xmlns:a16="http://schemas.microsoft.com/office/drawing/2014/main" id="{791A1F12-42A1-4F58-87EC-70A0AEA9926D}"/>
            </a:ext>
          </a:extLst>
        </xdr:cNvPr>
        <xdr:cNvSpPr/>
      </xdr:nvSpPr>
      <xdr:spPr>
        <a:xfrm>
          <a:off x="9135980" y="481263"/>
          <a:ext cx="1700462" cy="412122"/>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411480</xdr:colOff>
          <xdr:row>1</xdr:row>
          <xdr:rowOff>281940</xdr:rowOff>
        </xdr:from>
        <xdr:to>
          <xdr:col>10</xdr:col>
          <xdr:colOff>633691</xdr:colOff>
          <xdr:row>1</xdr:row>
          <xdr:rowOff>510540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15</xdr:col>
      <xdr:colOff>272715</xdr:colOff>
      <xdr:row>1</xdr:row>
      <xdr:rowOff>136358</xdr:rowOff>
    </xdr:from>
    <xdr:to>
      <xdr:col>16</xdr:col>
      <xdr:colOff>898356</xdr:colOff>
      <xdr:row>1</xdr:row>
      <xdr:rowOff>548480</xdr:rowOff>
    </xdr:to>
    <xdr:sp macro="" textlink="">
      <xdr:nvSpPr>
        <xdr:cNvPr id="10" name="Speech Bubble: Rectangle with Corners Rounded 9">
          <a:extLst>
            <a:ext uri="{FF2B5EF4-FFF2-40B4-BE49-F238E27FC236}">
              <a16:creationId xmlns:a16="http://schemas.microsoft.com/office/drawing/2014/main" id="{246548A5-B278-4F79-ADA0-B806B49298F1}"/>
            </a:ext>
          </a:extLst>
        </xdr:cNvPr>
        <xdr:cNvSpPr/>
      </xdr:nvSpPr>
      <xdr:spPr>
        <a:xfrm>
          <a:off x="12560968" y="449179"/>
          <a:ext cx="1700462" cy="412122"/>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15</xdr:col>
          <xdr:colOff>434340</xdr:colOff>
          <xdr:row>1</xdr:row>
          <xdr:rowOff>243840</xdr:rowOff>
        </xdr:from>
        <xdr:to>
          <xdr:col>16</xdr:col>
          <xdr:colOff>801331</xdr:colOff>
          <xdr:row>1</xdr:row>
          <xdr:rowOff>464820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twoCellAnchor>
    <xdr:from>
      <xdr:col>2</xdr:col>
      <xdr:colOff>110168</xdr:colOff>
      <xdr:row>1</xdr:row>
      <xdr:rowOff>100988</xdr:rowOff>
    </xdr:from>
    <xdr:to>
      <xdr:col>3</xdr:col>
      <xdr:colOff>703724</xdr:colOff>
      <xdr:row>1</xdr:row>
      <xdr:rowOff>513110</xdr:rowOff>
    </xdr:to>
    <xdr:sp macro="" textlink="">
      <xdr:nvSpPr>
        <xdr:cNvPr id="11" name="Speech Bubble: Rectangle with Corners Rounded 10">
          <a:extLst>
            <a:ext uri="{FF2B5EF4-FFF2-40B4-BE49-F238E27FC236}">
              <a16:creationId xmlns:a16="http://schemas.microsoft.com/office/drawing/2014/main" id="{9F20C864-2D49-4646-9B88-5CB20FAABE49}"/>
            </a:ext>
          </a:extLst>
        </xdr:cNvPr>
        <xdr:cNvSpPr/>
      </xdr:nvSpPr>
      <xdr:spPr>
        <a:xfrm>
          <a:off x="1918770" y="725277"/>
          <a:ext cx="1695243" cy="412122"/>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342900</xdr:colOff>
          <xdr:row>1</xdr:row>
          <xdr:rowOff>182880</xdr:rowOff>
        </xdr:from>
        <xdr:to>
          <xdr:col>3</xdr:col>
          <xdr:colOff>527397</xdr:colOff>
          <xdr:row>1</xdr:row>
          <xdr:rowOff>403860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Nawaz" refreshedDate="45886.939619560188" createdVersion="8" refreshedVersion="8" minRefreshableVersion="3" recordCount="25" xr:uid="{B803B5CB-6A7C-442B-B916-38F564412373}">
  <cacheSource type="worksheet">
    <worksheetSource ref="A1:L26" sheet="DATA"/>
  </cacheSource>
  <cacheFields count="12">
    <cacheField name="Emp Code" numFmtId="0">
      <sharedItems/>
    </cacheField>
    <cacheField name="Sales Executive" numFmtId="0">
      <sharedItems count="25">
        <s v="Tilak Verma"/>
        <s v="Samreen "/>
        <s v="Shreyas M.R"/>
        <s v="Santosh Kumar"/>
        <s v="Neha C.K"/>
        <s v="Vipal Pandey"/>
        <s v="Krunal Singh"/>
        <s v="Lokesh Kanagaraj"/>
        <s v="Karthik Hegde"/>
        <s v="Pooja K"/>
        <s v="Parinitha Gowda"/>
        <s v="Suriya"/>
        <s v="Mohammed Bilal"/>
        <s v="Mohammed Shazi"/>
        <s v="Anupama"/>
        <s v="Sunil Kumar"/>
        <s v="Satish Gowda"/>
        <s v="Keerthi J"/>
        <s v="Sanvika"/>
        <s v="Vijay Kumar"/>
        <s v="Anirudh"/>
        <s v="Suresh Gowda"/>
        <s v="Irfan K.L"/>
        <s v="Mahi"/>
        <s v="Mahesh Babu"/>
      </sharedItems>
    </cacheField>
    <cacheField name="Region " numFmtId="0">
      <sharedItems count="17">
        <s v="Mumbai"/>
        <s v="Bengaluru "/>
        <s v="Mysore"/>
        <s v="Tumkur"/>
        <s v="Hyderabad"/>
        <s v="Kolkata"/>
        <s v="Punjab"/>
        <s v="Chennai"/>
        <s v="Vizag"/>
        <s v="Hubli"/>
        <s v="Bijapur"/>
        <s v="Kochi"/>
        <s v="Jamshedpur"/>
        <s v="Jaipur"/>
        <s v="Vijayawada"/>
        <s v="Delhi"/>
        <s v="Ranchi"/>
      </sharedItems>
    </cacheField>
    <cacheField name="Day1" numFmtId="0">
      <sharedItems containsSemiMixedTypes="0" containsString="0" containsNumber="1" containsInteger="1" minValue="30" maxValue="90"/>
    </cacheField>
    <cacheField name="Day2" numFmtId="0">
      <sharedItems containsSemiMixedTypes="0" containsString="0" containsNumber="1" containsInteger="1" minValue="30" maxValue="95"/>
    </cacheField>
    <cacheField name="Day3" numFmtId="0">
      <sharedItems containsSemiMixedTypes="0" containsString="0" containsNumber="1" containsInteger="1" minValue="19" maxValue="86"/>
    </cacheField>
    <cacheField name="Day4" numFmtId="0">
      <sharedItems containsSemiMixedTypes="0" containsString="0" containsNumber="1" containsInteger="1" minValue="29" maxValue="97"/>
    </cacheField>
    <cacheField name="Day5" numFmtId="0">
      <sharedItems containsSemiMixedTypes="0" containsString="0" containsNumber="1" containsInteger="1" minValue="29" maxValue="94"/>
    </cacheField>
    <cacheField name="Total Sales" numFmtId="0">
      <sharedItems containsSemiMixedTypes="0" containsString="0" containsNumber="1" containsInteger="1" minValue="222" maxValue="358"/>
    </cacheField>
    <cacheField name="Target" numFmtId="0">
      <sharedItems containsSemiMixedTypes="0" containsString="0" containsNumber="1" containsInteger="1" minValue="500" maxValue="500"/>
    </cacheField>
    <cacheField name="Target Hit%" numFmtId="2">
      <sharedItems containsSemiMixedTypes="0" containsString="0" containsNumber="1" minValue="44.4" maxValue="71.599999999999994"/>
    </cacheField>
    <cacheField name="Away from Target %" numFmtId="0">
      <sharedItems containsSemiMixedTypes="0" containsString="0" containsNumber="1" minValue="28.4" maxValue="55.600000000000009"/>
    </cacheField>
  </cacheFields>
  <extLst>
    <ext xmlns:x14="http://schemas.microsoft.com/office/spreadsheetml/2009/9/main" uri="{725AE2AE-9491-48be-B2B4-4EB974FC3084}">
      <x14:pivotCacheDefinition pivotCacheId="1232158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BLR-TCL001"/>
    <x v="0"/>
    <x v="0"/>
    <n v="56"/>
    <n v="65"/>
    <n v="79"/>
    <n v="79"/>
    <n v="79"/>
    <n v="358"/>
    <n v="500"/>
    <n v="71.599999999999994"/>
    <n v="28.4"/>
  </r>
  <r>
    <s v="BLR-TCL002"/>
    <x v="1"/>
    <x v="1"/>
    <n v="78"/>
    <n v="64"/>
    <n v="74"/>
    <n v="79"/>
    <n v="49"/>
    <n v="344"/>
    <n v="500"/>
    <n v="68.8"/>
    <n v="31.2"/>
  </r>
  <r>
    <s v="BLR-TCL003"/>
    <x v="2"/>
    <x v="2"/>
    <n v="76"/>
    <n v="67"/>
    <n v="19"/>
    <n v="48"/>
    <n v="48"/>
    <n v="258"/>
    <n v="500"/>
    <n v="51.6"/>
    <n v="48.4"/>
  </r>
  <r>
    <s v="BLR-TCL004"/>
    <x v="3"/>
    <x v="3"/>
    <n v="67"/>
    <n v="61"/>
    <n v="76"/>
    <n v="46"/>
    <n v="44"/>
    <n v="294"/>
    <n v="500"/>
    <n v="58.8"/>
    <n v="41.199999999999996"/>
  </r>
  <r>
    <s v="BLR-TCL005"/>
    <x v="4"/>
    <x v="4"/>
    <n v="69"/>
    <n v="58"/>
    <n v="72"/>
    <n v="56"/>
    <n v="55"/>
    <n v="310"/>
    <n v="500"/>
    <n v="62"/>
    <n v="38"/>
  </r>
  <r>
    <s v="BLR-TCL006"/>
    <x v="5"/>
    <x v="5"/>
    <n v="65"/>
    <n v="34"/>
    <n v="64"/>
    <n v="57"/>
    <n v="56"/>
    <n v="276"/>
    <n v="500"/>
    <n v="55.2"/>
    <n v="44.800000000000004"/>
  </r>
  <r>
    <s v="BLR-TCL007"/>
    <x v="6"/>
    <x v="6"/>
    <n v="36"/>
    <n v="79"/>
    <n v="58"/>
    <n v="29"/>
    <n v="75"/>
    <n v="277"/>
    <n v="500"/>
    <n v="55.400000000000006"/>
    <n v="44.6"/>
  </r>
  <r>
    <s v="BLR-TCL008"/>
    <x v="7"/>
    <x v="7"/>
    <n v="79"/>
    <n v="90"/>
    <n v="59"/>
    <n v="38"/>
    <n v="59"/>
    <n v="325"/>
    <n v="500"/>
    <n v="65"/>
    <n v="35"/>
  </r>
  <r>
    <s v="BLR-TCL009"/>
    <x v="8"/>
    <x v="8"/>
    <n v="89"/>
    <n v="48"/>
    <n v="46"/>
    <n v="49"/>
    <n v="53"/>
    <n v="285"/>
    <n v="500"/>
    <n v="56.999999999999993"/>
    <n v="43"/>
  </r>
  <r>
    <s v="BLR-TCL010"/>
    <x v="9"/>
    <x v="0"/>
    <n v="67"/>
    <n v="49"/>
    <n v="49"/>
    <n v="45"/>
    <n v="29"/>
    <n v="239"/>
    <n v="500"/>
    <n v="47.8"/>
    <n v="52.2"/>
  </r>
  <r>
    <s v="BLR-TCL011"/>
    <x v="10"/>
    <x v="9"/>
    <n v="58"/>
    <n v="30"/>
    <n v="34"/>
    <n v="78"/>
    <n v="37"/>
    <n v="237"/>
    <n v="500"/>
    <n v="47.4"/>
    <n v="52.6"/>
  </r>
  <r>
    <s v="BLR-TCL012"/>
    <x v="11"/>
    <x v="7"/>
    <n v="68"/>
    <n v="59"/>
    <n v="19"/>
    <n v="76"/>
    <n v="35"/>
    <n v="257"/>
    <n v="500"/>
    <n v="51.4"/>
    <n v="48.6"/>
  </r>
  <r>
    <s v="BLR-TCL013"/>
    <x v="12"/>
    <x v="10"/>
    <n v="63"/>
    <n v="68"/>
    <n v="76"/>
    <n v="49"/>
    <n v="36"/>
    <n v="292"/>
    <n v="500"/>
    <n v="58.4"/>
    <n v="41.6"/>
  </r>
  <r>
    <s v="BLR-TCL014"/>
    <x v="13"/>
    <x v="0"/>
    <n v="65"/>
    <n v="75"/>
    <n v="49"/>
    <n v="45"/>
    <n v="59"/>
    <n v="293"/>
    <n v="500"/>
    <n v="58.599999999999994"/>
    <n v="41.4"/>
  </r>
  <r>
    <s v="BLR-TCL015"/>
    <x v="14"/>
    <x v="11"/>
    <n v="64"/>
    <n v="84"/>
    <n v="82"/>
    <n v="38"/>
    <n v="64"/>
    <n v="332"/>
    <n v="500"/>
    <n v="66.400000000000006"/>
    <n v="33.6"/>
  </r>
  <r>
    <s v="BLR-TCL016"/>
    <x v="15"/>
    <x v="12"/>
    <n v="90"/>
    <n v="95"/>
    <n v="43"/>
    <n v="37"/>
    <n v="66"/>
    <n v="331"/>
    <n v="500"/>
    <n v="66.2"/>
    <n v="33.800000000000004"/>
  </r>
  <r>
    <s v="BLR-TCL017"/>
    <x v="16"/>
    <x v="13"/>
    <n v="81"/>
    <n v="46"/>
    <n v="76"/>
    <n v="33"/>
    <n v="35"/>
    <n v="271"/>
    <n v="500"/>
    <n v="54.2"/>
    <n v="45.800000000000004"/>
  </r>
  <r>
    <s v="BLR-TCL018"/>
    <x v="17"/>
    <x v="14"/>
    <n v="82"/>
    <n v="79"/>
    <n v="49"/>
    <n v="44"/>
    <n v="94"/>
    <n v="348"/>
    <n v="500"/>
    <n v="69.599999999999994"/>
    <n v="30.4"/>
  </r>
  <r>
    <s v="BLR-TCL019"/>
    <x v="18"/>
    <x v="14"/>
    <n v="49"/>
    <n v="48"/>
    <n v="25"/>
    <n v="97"/>
    <n v="49"/>
    <n v="268"/>
    <n v="500"/>
    <n v="53.6"/>
    <n v="46.400000000000006"/>
  </r>
  <r>
    <s v="BLR-TCL020"/>
    <x v="19"/>
    <x v="7"/>
    <n v="38"/>
    <n v="95"/>
    <n v="86"/>
    <n v="49"/>
    <n v="68"/>
    <n v="336"/>
    <n v="500"/>
    <n v="67.2"/>
    <n v="32.800000000000004"/>
  </r>
  <r>
    <s v="BLR-TCL021"/>
    <x v="20"/>
    <x v="7"/>
    <n v="48"/>
    <n v="84"/>
    <n v="29"/>
    <n v="38"/>
    <n v="67"/>
    <n v="266"/>
    <n v="500"/>
    <n v="53.2"/>
    <n v="46.800000000000004"/>
  </r>
  <r>
    <s v="BLR-TCL022"/>
    <x v="21"/>
    <x v="15"/>
    <n v="30"/>
    <n v="79"/>
    <n v="46"/>
    <n v="46"/>
    <n v="49"/>
    <n v="250"/>
    <n v="500"/>
    <n v="50"/>
    <n v="50"/>
  </r>
  <r>
    <s v="BLR-TCL023"/>
    <x v="22"/>
    <x v="1"/>
    <n v="57"/>
    <n v="62"/>
    <n v="49"/>
    <n v="47"/>
    <n v="43"/>
    <n v="258"/>
    <n v="500"/>
    <n v="51.6"/>
    <n v="48.4"/>
  </r>
  <r>
    <s v="BLR-TCL024"/>
    <x v="23"/>
    <x v="16"/>
    <n v="54"/>
    <n v="69"/>
    <n v="47"/>
    <n v="46"/>
    <n v="49"/>
    <n v="265"/>
    <n v="500"/>
    <n v="53"/>
    <n v="47"/>
  </r>
  <r>
    <s v="BLR-TCL025"/>
    <x v="24"/>
    <x v="15"/>
    <n v="39"/>
    <n v="67"/>
    <n v="37"/>
    <n v="42"/>
    <n v="37"/>
    <n v="222"/>
    <n v="500"/>
    <n v="44.4"/>
    <n v="55.600000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3CF1E-C140-42F8-949E-3FEC17EE21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Executive">
  <location ref="C3:D5" firstHeaderRow="1" firstDataRow="1" firstDataCol="1"/>
  <pivotFields count="12">
    <pivotField showAll="0"/>
    <pivotField axis="axisRow" showAll="0" measureFilter="1">
      <items count="26">
        <item x="20"/>
        <item x="14"/>
        <item x="22"/>
        <item x="8"/>
        <item x="17"/>
        <item x="6"/>
        <item x="7"/>
        <item x="24"/>
        <item x="23"/>
        <item x="12"/>
        <item x="13"/>
        <item x="4"/>
        <item x="10"/>
        <item x="9"/>
        <item x="1"/>
        <item x="3"/>
        <item x="18"/>
        <item x="16"/>
        <item x="2"/>
        <item x="15"/>
        <item x="21"/>
        <item x="11"/>
        <item x="0"/>
        <item x="19"/>
        <item x="5"/>
        <item t="default"/>
      </items>
    </pivotField>
    <pivotField showAll="0">
      <items count="18">
        <item h="1" x="1"/>
        <item h="1" x="10"/>
        <item h="1" x="7"/>
        <item h="1" x="15"/>
        <item h="1" x="9"/>
        <item h="1" x="4"/>
        <item x="13"/>
        <item h="1" x="12"/>
        <item h="1" x="11"/>
        <item h="1" x="5"/>
        <item h="1" x="0"/>
        <item h="1" x="2"/>
        <item h="1" x="6"/>
        <item h="1" x="16"/>
        <item h="1" x="3"/>
        <item h="1" x="14"/>
        <item h="1" x="8"/>
        <item t="default"/>
      </items>
    </pivotField>
    <pivotField showAll="0"/>
    <pivotField showAll="0"/>
    <pivotField showAll="0"/>
    <pivotField showAll="0"/>
    <pivotField showAll="0"/>
    <pivotField dataField="1" showAll="0"/>
    <pivotField showAll="0"/>
    <pivotField numFmtId="2" showAll="0"/>
    <pivotField showAll="0"/>
  </pivotFields>
  <rowFields count="1">
    <field x="1"/>
  </rowFields>
  <rowItems count="2">
    <i>
      <x v="17"/>
    </i>
    <i t="grand">
      <x/>
    </i>
  </rowItems>
  <colItems count="1">
    <i/>
  </colItems>
  <dataFields count="1">
    <dataField name="Total Value Sales" fld="8" baseField="1" baseItem="1"/>
  </dataFields>
  <formats count="12">
    <format dxfId="158">
      <pivotArea type="all" dataOnly="0" outline="0" fieldPosition="0"/>
    </format>
    <format dxfId="157">
      <pivotArea outline="0" collapsedLevelsAreSubtotals="1" fieldPosition="0"/>
    </format>
    <format dxfId="156">
      <pivotArea field="1" type="button" dataOnly="0" labelOnly="1" outline="0" axis="axisRow" fieldPosition="0"/>
    </format>
    <format dxfId="155">
      <pivotArea dataOnly="0" labelOnly="1" fieldPosition="0">
        <references count="1">
          <reference field="1" count="3">
            <x v="10"/>
            <x v="13"/>
            <x v="22"/>
          </reference>
        </references>
      </pivotArea>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1" type="button" dataOnly="0" labelOnly="1" outline="0" axis="axisRow" fieldPosition="0"/>
    </format>
    <format dxfId="149">
      <pivotArea dataOnly="0" labelOnly="1" fieldPosition="0">
        <references count="1">
          <reference field="1" count="3">
            <x v="10"/>
            <x v="13"/>
            <x v="22"/>
          </reference>
        </references>
      </pivotArea>
    </format>
    <format dxfId="148">
      <pivotArea dataOnly="0" labelOnly="1" grandRow="1" outline="0" fieldPosition="0"/>
    </format>
    <format dxfId="14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CED072-ED9F-47EC-A9B7-7C5414AC8AA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Executive">
  <location ref="J3:K5" firstHeaderRow="1" firstDataRow="1" firstDataCol="1"/>
  <pivotFields count="12">
    <pivotField showAll="0"/>
    <pivotField axis="axisRow" showAll="0" measureFilter="1">
      <items count="26">
        <item x="20"/>
        <item x="14"/>
        <item x="22"/>
        <item x="8"/>
        <item x="17"/>
        <item x="6"/>
        <item x="7"/>
        <item x="24"/>
        <item x="23"/>
        <item x="12"/>
        <item x="13"/>
        <item x="4"/>
        <item x="10"/>
        <item x="9"/>
        <item x="1"/>
        <item x="3"/>
        <item x="18"/>
        <item x="16"/>
        <item x="2"/>
        <item x="15"/>
        <item x="21"/>
        <item x="11"/>
        <item x="0"/>
        <item x="19"/>
        <item x="5"/>
        <item t="default"/>
      </items>
    </pivotField>
    <pivotField showAll="0">
      <items count="18">
        <item h="1" x="1"/>
        <item h="1" x="10"/>
        <item h="1" x="7"/>
        <item h="1" x="15"/>
        <item h="1" x="9"/>
        <item h="1" x="4"/>
        <item x="13"/>
        <item h="1" x="12"/>
        <item h="1" x="11"/>
        <item h="1" x="5"/>
        <item h="1" x="0"/>
        <item h="1" x="2"/>
        <item h="1" x="6"/>
        <item h="1" x="16"/>
        <item h="1" x="3"/>
        <item h="1" x="14"/>
        <item h="1" x="8"/>
        <item t="default"/>
      </items>
    </pivotField>
    <pivotField showAll="0"/>
    <pivotField showAll="0"/>
    <pivotField showAll="0"/>
    <pivotField showAll="0"/>
    <pivotField showAll="0"/>
    <pivotField showAll="0"/>
    <pivotField showAll="0"/>
    <pivotField dataField="1" numFmtId="2" showAll="0"/>
    <pivotField showAll="0"/>
  </pivotFields>
  <rowFields count="1">
    <field x="1"/>
  </rowFields>
  <rowItems count="2">
    <i>
      <x v="17"/>
    </i>
    <i t="grand">
      <x/>
    </i>
  </rowItems>
  <colItems count="1">
    <i/>
  </colItems>
  <dataFields count="1">
    <dataField name="Target Acheived %" fld="10" baseField="1" baseItem="1" numFmtId="2"/>
  </dataFields>
  <formats count="12">
    <format dxfId="170">
      <pivotArea type="all" dataOnly="0" outline="0" fieldPosition="0"/>
    </format>
    <format dxfId="169">
      <pivotArea outline="0" collapsedLevelsAreSubtotals="1" fieldPosition="0"/>
    </format>
    <format dxfId="168">
      <pivotArea field="1" type="button" dataOnly="0" labelOnly="1" outline="0" axis="axisRow" fieldPosition="0"/>
    </format>
    <format dxfId="167">
      <pivotArea dataOnly="0" labelOnly="1" fieldPosition="0">
        <references count="1">
          <reference field="1" count="3">
            <x v="10"/>
            <x v="13"/>
            <x v="22"/>
          </reference>
        </references>
      </pivotArea>
    </format>
    <format dxfId="166">
      <pivotArea dataOnly="0" labelOnly="1" grandRow="1" outline="0"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1" type="button" dataOnly="0" labelOnly="1" outline="0" axis="axisRow" fieldPosition="0"/>
    </format>
    <format dxfId="161">
      <pivotArea dataOnly="0" labelOnly="1" fieldPosition="0">
        <references count="1">
          <reference field="1" count="3">
            <x v="10"/>
            <x v="13"/>
            <x v="22"/>
          </reference>
        </references>
      </pivotArea>
    </format>
    <format dxfId="160">
      <pivotArea dataOnly="0" labelOnly="1" grandRow="1" outline="0" fieldPosition="0"/>
    </format>
    <format dxfId="15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0"/>
          </reference>
        </references>
      </pivotArea>
    </chartFormat>
    <chartFormat chart="0" format="2">
      <pivotArea type="data" outline="0" fieldPosition="0">
        <references count="2">
          <reference field="4294967294" count="1" selected="0">
            <x v="0"/>
          </reference>
          <reference field="1" count="1" selected="0">
            <x v="13"/>
          </reference>
        </references>
      </pivotArea>
    </chartFormat>
    <chartFormat chart="0" format="3">
      <pivotArea type="data" outline="0" fieldPosition="0">
        <references count="2">
          <reference field="4294967294" count="1" selected="0">
            <x v="0"/>
          </reference>
          <reference field="1" count="1" selected="0">
            <x v="22"/>
          </reference>
        </references>
      </pivotArea>
    </chartFormat>
  </chartFormats>
  <pivotTableStyleInfo name="PivotStyleMedium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1A25CA-3729-48F4-9D7D-9C49ECEDF8B6}" name="PivotTable1" cacheId="0"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chartFormat="2" rowHeaderCaption="Sales Executive">
  <location ref="P3:Q5" firstHeaderRow="1" firstDataRow="1" firstDataCol="1"/>
  <pivotFields count="12">
    <pivotField showAll="0"/>
    <pivotField axis="axisRow" showAll="0" measureFilter="1">
      <items count="26">
        <item x="20"/>
        <item x="14"/>
        <item x="22"/>
        <item x="8"/>
        <item x="17"/>
        <item x="6"/>
        <item x="7"/>
        <item x="24"/>
        <item x="23"/>
        <item x="12"/>
        <item x="13"/>
        <item x="4"/>
        <item x="10"/>
        <item x="9"/>
        <item x="1"/>
        <item x="3"/>
        <item x="18"/>
        <item x="16"/>
        <item x="2"/>
        <item x="15"/>
        <item x="21"/>
        <item x="11"/>
        <item x="0"/>
        <item x="19"/>
        <item x="5"/>
        <item t="default"/>
      </items>
    </pivotField>
    <pivotField showAll="0">
      <items count="18">
        <item h="1" x="1"/>
        <item h="1" x="10"/>
        <item h="1" x="7"/>
        <item h="1" x="15"/>
        <item h="1" x="9"/>
        <item h="1" x="4"/>
        <item x="13"/>
        <item h="1" x="12"/>
        <item h="1" x="11"/>
        <item h="1" x="5"/>
        <item h="1" x="0"/>
        <item h="1" x="2"/>
        <item h="1" x="6"/>
        <item h="1" x="16"/>
        <item h="1" x="3"/>
        <item h="1" x="14"/>
        <item h="1" x="8"/>
        <item t="default"/>
      </items>
    </pivotField>
    <pivotField showAll="0"/>
    <pivotField showAll="0"/>
    <pivotField showAll="0"/>
    <pivotField showAll="0"/>
    <pivotField showAll="0"/>
    <pivotField showAll="0"/>
    <pivotField showAll="0"/>
    <pivotField numFmtId="2" showAll="0"/>
    <pivotField dataField="1" showAll="0"/>
  </pivotFields>
  <rowFields count="1">
    <field x="1"/>
  </rowFields>
  <rowItems count="2">
    <i>
      <x v="17"/>
    </i>
    <i t="grand">
      <x/>
    </i>
  </rowItems>
  <colItems count="1">
    <i/>
  </colItems>
  <dataFields count="1">
    <dataField name="Away from the target %" fld="11" baseField="1" baseItem="1"/>
  </dataFields>
  <formats count="13">
    <format dxfId="183">
      <pivotArea collapsedLevelsAreSubtotals="1" fieldPosition="0">
        <references count="1">
          <reference field="1" count="5">
            <x v="1"/>
            <x v="4"/>
            <x v="14"/>
            <x v="22"/>
            <x v="23"/>
          </reference>
        </references>
      </pivotArea>
    </format>
    <format dxfId="182">
      <pivotArea type="all" dataOnly="0" outline="0" fieldPosition="0"/>
    </format>
    <format dxfId="181">
      <pivotArea outline="0" collapsedLevelsAreSubtotals="1" fieldPosition="0"/>
    </format>
    <format dxfId="180">
      <pivotArea field="1" type="button" dataOnly="0" labelOnly="1" outline="0" axis="axisRow" fieldPosition="0"/>
    </format>
    <format dxfId="179">
      <pivotArea dataOnly="0" labelOnly="1" fieldPosition="0">
        <references count="1">
          <reference field="1" count="3">
            <x v="10"/>
            <x v="13"/>
            <x v="22"/>
          </reference>
        </references>
      </pivotArea>
    </format>
    <format dxfId="178">
      <pivotArea dataOnly="0" labelOnly="1" grandRow="1" outline="0"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1" type="button" dataOnly="0" labelOnly="1" outline="0" axis="axisRow" fieldPosition="0"/>
    </format>
    <format dxfId="173">
      <pivotArea dataOnly="0" labelOnly="1" fieldPosition="0">
        <references count="1">
          <reference field="1" count="3">
            <x v="10"/>
            <x v="13"/>
            <x v="22"/>
          </reference>
        </references>
      </pivotArea>
    </format>
    <format dxfId="172">
      <pivotArea dataOnly="0" labelOnly="1" grandRow="1" outline="0" fieldPosition="0"/>
    </format>
    <format dxfId="17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E1C5F8-C550-4EB7-B08C-BFC8F7D3DF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Executive">
  <location ref="F3:G5" firstHeaderRow="1" firstDataRow="1" firstDataCol="1"/>
  <pivotFields count="12">
    <pivotField showAll="0"/>
    <pivotField axis="axisRow" showAll="0" measureFilter="1">
      <items count="26">
        <item x="20"/>
        <item x="14"/>
        <item x="22"/>
        <item x="8"/>
        <item x="17"/>
        <item x="6"/>
        <item x="7"/>
        <item x="24"/>
        <item x="23"/>
        <item x="12"/>
        <item x="13"/>
        <item x="4"/>
        <item x="10"/>
        <item x="9"/>
        <item x="1"/>
        <item x="3"/>
        <item x="18"/>
        <item x="16"/>
        <item x="2"/>
        <item x="15"/>
        <item x="21"/>
        <item x="11"/>
        <item x="0"/>
        <item x="19"/>
        <item x="5"/>
        <item t="default"/>
      </items>
    </pivotField>
    <pivotField showAll="0">
      <items count="18">
        <item h="1" x="1"/>
        <item h="1" x="10"/>
        <item h="1" x="7"/>
        <item h="1" x="15"/>
        <item h="1" x="9"/>
        <item h="1" x="4"/>
        <item x="13"/>
        <item h="1" x="12"/>
        <item h="1" x="11"/>
        <item h="1" x="5"/>
        <item h="1" x="0"/>
        <item h="1" x="2"/>
        <item h="1" x="6"/>
        <item h="1" x="16"/>
        <item h="1" x="3"/>
        <item h="1" x="14"/>
        <item h="1" x="8"/>
        <item t="default"/>
      </items>
    </pivotField>
    <pivotField showAll="0"/>
    <pivotField showAll="0"/>
    <pivotField showAll="0"/>
    <pivotField showAll="0"/>
    <pivotField showAll="0"/>
    <pivotField dataField="1" showAll="0"/>
    <pivotField showAll="0"/>
    <pivotField numFmtId="2" showAll="0"/>
    <pivotField showAll="0"/>
  </pivotFields>
  <rowFields count="1">
    <field x="1"/>
  </rowFields>
  <rowItems count="2">
    <i>
      <x v="17"/>
    </i>
    <i t="grand">
      <x/>
    </i>
  </rowItems>
  <colItems count="1">
    <i/>
  </colItems>
  <dataFields count="1">
    <dataField name="Total Value Sales" fld="8" baseField="1" baseItem="1"/>
  </dataFields>
  <formats count="12">
    <format dxfId="195">
      <pivotArea type="all" dataOnly="0" outline="0" fieldPosition="0"/>
    </format>
    <format dxfId="194">
      <pivotArea outline="0" collapsedLevelsAreSubtotals="1" fieldPosition="0"/>
    </format>
    <format dxfId="193">
      <pivotArea field="1" type="button" dataOnly="0" labelOnly="1" outline="0" axis="axisRow" fieldPosition="0"/>
    </format>
    <format dxfId="192">
      <pivotArea dataOnly="0" labelOnly="1" fieldPosition="0">
        <references count="1">
          <reference field="1" count="3">
            <x v="10"/>
            <x v="13"/>
            <x v="22"/>
          </reference>
        </references>
      </pivotArea>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1" type="button" dataOnly="0" labelOnly="1" outline="0" axis="axisRow" fieldPosition="0"/>
    </format>
    <format dxfId="186">
      <pivotArea dataOnly="0" labelOnly="1" fieldPosition="0">
        <references count="1">
          <reference field="1" count="3">
            <x v="10"/>
            <x v="13"/>
            <x v="22"/>
          </reference>
        </references>
      </pivotArea>
    </format>
    <format dxfId="185">
      <pivotArea dataOnly="0" labelOnly="1" grandRow="1" outline="0" fieldPosition="0"/>
    </format>
    <format dxfId="184">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88DAFD-73BF-4564-B50A-79D5605A7BF4}" sourceName="Region ">
  <pivotTables>
    <pivotTable tabId="4" name="PivotTable9"/>
    <pivotTable tabId="4" name="PivotTable1"/>
    <pivotTable tabId="4" name="PivotTable10"/>
    <pivotTable tabId="4" name="PivotTable11"/>
  </pivotTables>
  <data>
    <tabular pivotCacheId="1232158479">
      <items count="17">
        <i x="1"/>
        <i x="10"/>
        <i x="7"/>
        <i x="15"/>
        <i x="9"/>
        <i x="4"/>
        <i x="13" s="1"/>
        <i x="12"/>
        <i x="11"/>
        <i x="5"/>
        <i x="0"/>
        <i x="2"/>
        <i x="6"/>
        <i x="16"/>
        <i x="3"/>
        <i x="14"/>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 xr10:uid="{2BBF15C6-B407-4C8F-B753-7CB6816C09D2}" cache="Slicer_Region" caption="Region " columnCount="17" showCaption="0" style="SlicerStyleDark6" rowHeight="288000"/>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ctrlProp" Target="../ctrlProps/ctrlProp1.xml"/><Relationship Id="rId12" Type="http://schemas.openxmlformats.org/officeDocument/2006/relationships/ctrlProp" Target="../ctrlProps/ctrlProp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openxmlformats.org/officeDocument/2006/relationships/ctrlProp" Target="../ctrlProps/ctrlProp5.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AD4B-2A51-4B5E-AB12-F2D18A9DEB3F}">
  <dimension ref="A1:Q8"/>
  <sheetViews>
    <sheetView tabSelected="1" zoomScale="99" zoomScaleNormal="85" workbookViewId="0">
      <selection activeCell="G22" sqref="G22"/>
    </sheetView>
  </sheetViews>
  <sheetFormatPr defaultRowHeight="13.8" x14ac:dyDescent="0.25"/>
  <cols>
    <col min="1" max="1" width="16.09765625" customWidth="1"/>
    <col min="2" max="2" width="10.09765625" customWidth="1"/>
    <col min="3" max="3" width="15.69921875" bestFit="1" customWidth="1"/>
    <col min="4" max="4" width="15.19921875" bestFit="1" customWidth="1"/>
    <col min="5" max="5" width="15.296875" customWidth="1"/>
    <col min="6" max="6" width="15.69921875" bestFit="1" customWidth="1"/>
    <col min="7" max="7" width="15.19921875" bestFit="1" customWidth="1"/>
    <col min="8" max="8" width="16.59765625" customWidth="1"/>
    <col min="10" max="10" width="14" bestFit="1" customWidth="1"/>
    <col min="11" max="11" width="14.09765625" bestFit="1" customWidth="1"/>
    <col min="13" max="13" width="8.5" customWidth="1"/>
    <col min="14" max="14" width="4.796875" hidden="1" customWidth="1"/>
    <col min="15" max="15" width="4" hidden="1" customWidth="1"/>
    <col min="16" max="16" width="14" bestFit="1" customWidth="1"/>
    <col min="17" max="17" width="17.296875" bestFit="1" customWidth="1"/>
  </cols>
  <sheetData>
    <row r="1" spans="1:17" ht="53.4" customHeight="1" x14ac:dyDescent="0.25">
      <c r="A1" s="4"/>
      <c r="B1" s="4"/>
      <c r="C1" s="4" t="b">
        <v>0</v>
      </c>
      <c r="D1" s="4"/>
      <c r="E1" s="4"/>
      <c r="F1" s="4" t="b">
        <v>1</v>
      </c>
      <c r="G1" s="4"/>
      <c r="H1" s="4"/>
      <c r="I1" s="4"/>
      <c r="J1" s="4" t="b">
        <v>0</v>
      </c>
      <c r="K1" s="4"/>
      <c r="L1" s="4"/>
      <c r="M1" s="4"/>
      <c r="N1" s="4"/>
      <c r="O1" s="4"/>
      <c r="P1" s="4" t="b">
        <v>0</v>
      </c>
      <c r="Q1" s="4"/>
    </row>
    <row r="2" spans="1:17" ht="49.8" customHeight="1" x14ac:dyDescent="0.25">
      <c r="A2" s="4"/>
      <c r="B2" s="4"/>
      <c r="C2" s="4"/>
      <c r="D2" s="4"/>
      <c r="E2" s="4"/>
      <c r="F2" s="4"/>
      <c r="G2" s="4"/>
      <c r="H2" s="4"/>
      <c r="I2" s="4"/>
      <c r="J2" s="4"/>
      <c r="K2" s="4"/>
      <c r="L2" s="4"/>
      <c r="M2" s="4"/>
      <c r="N2" s="4"/>
      <c r="O2" s="4"/>
      <c r="P2" s="4"/>
      <c r="Q2" s="4"/>
    </row>
    <row r="3" spans="1:17" x14ac:dyDescent="0.25">
      <c r="A3" s="4"/>
      <c r="B3" s="4"/>
      <c r="C3" s="4" t="s">
        <v>1</v>
      </c>
      <c r="D3" s="4" t="s">
        <v>81</v>
      </c>
      <c r="E3" s="4"/>
      <c r="F3" s="4" t="s">
        <v>1</v>
      </c>
      <c r="G3" s="4" t="s">
        <v>81</v>
      </c>
      <c r="H3" s="4"/>
      <c r="I3" s="4"/>
      <c r="J3" s="4" t="s">
        <v>1</v>
      </c>
      <c r="K3" s="4" t="s">
        <v>80</v>
      </c>
      <c r="L3" s="4"/>
      <c r="M3" s="4"/>
      <c r="N3" s="4"/>
      <c r="O3" s="4"/>
      <c r="P3" s="4" t="s">
        <v>1</v>
      </c>
      <c r="Q3" s="4" t="s">
        <v>83</v>
      </c>
    </row>
    <row r="4" spans="1:17" x14ac:dyDescent="0.25">
      <c r="A4" s="4"/>
      <c r="B4" s="4"/>
      <c r="C4" s="5" t="s">
        <v>53</v>
      </c>
      <c r="D4" s="7">
        <v>271</v>
      </c>
      <c r="E4" s="4"/>
      <c r="F4" s="5" t="s">
        <v>53</v>
      </c>
      <c r="G4" s="7">
        <v>271</v>
      </c>
      <c r="H4" s="4"/>
      <c r="I4" s="4"/>
      <c r="J4" s="5" t="s">
        <v>53</v>
      </c>
      <c r="K4" s="6">
        <v>54.2</v>
      </c>
      <c r="L4" s="4"/>
      <c r="M4" s="4"/>
      <c r="N4" s="4"/>
      <c r="O4" s="4"/>
      <c r="P4" s="5" t="s">
        <v>53</v>
      </c>
      <c r="Q4" s="7">
        <v>45.800000000000004</v>
      </c>
    </row>
    <row r="5" spans="1:17" x14ac:dyDescent="0.25">
      <c r="A5" s="4"/>
      <c r="B5" s="4"/>
      <c r="C5" s="5" t="s">
        <v>79</v>
      </c>
      <c r="D5" s="7">
        <v>271</v>
      </c>
      <c r="E5" s="4"/>
      <c r="F5" s="5" t="s">
        <v>79</v>
      </c>
      <c r="G5" s="7">
        <v>271</v>
      </c>
      <c r="H5" s="4"/>
      <c r="I5" s="4"/>
      <c r="J5" s="5" t="s">
        <v>79</v>
      </c>
      <c r="K5" s="6">
        <v>54.2</v>
      </c>
      <c r="L5" s="4"/>
      <c r="M5" s="4"/>
      <c r="N5" s="4"/>
      <c r="O5" s="4"/>
      <c r="P5" s="5" t="s">
        <v>82</v>
      </c>
      <c r="Q5" s="7">
        <v>45.800000000000004</v>
      </c>
    </row>
    <row r="6" spans="1:17" x14ac:dyDescent="0.25">
      <c r="A6" s="4"/>
      <c r="B6" s="4"/>
      <c r="E6" s="4"/>
      <c r="H6" s="4"/>
      <c r="I6" s="4"/>
      <c r="L6" s="4"/>
      <c r="M6" s="4"/>
      <c r="N6" s="4"/>
      <c r="O6" s="4"/>
    </row>
    <row r="7" spans="1:17" x14ac:dyDescent="0.25">
      <c r="A7" s="4"/>
      <c r="B7" s="4"/>
      <c r="E7" s="4"/>
      <c r="H7" s="4"/>
      <c r="I7" s="4"/>
      <c r="L7" s="4"/>
      <c r="M7" s="4"/>
      <c r="N7" s="4"/>
      <c r="O7" s="4"/>
    </row>
    <row r="8" spans="1:17" x14ac:dyDescent="0.25">
      <c r="A8" s="4"/>
      <c r="B8" s="4"/>
      <c r="C8" s="4"/>
      <c r="D8" s="4"/>
      <c r="E8" s="4"/>
      <c r="F8" s="4"/>
      <c r="G8" s="4"/>
      <c r="H8" s="4"/>
      <c r="I8" s="4"/>
      <c r="J8" s="4"/>
      <c r="K8" s="4"/>
      <c r="L8" s="4"/>
      <c r="M8" s="4"/>
      <c r="N8" s="4"/>
      <c r="O8" s="4"/>
      <c r="P8" s="4"/>
      <c r="Q8" s="4"/>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anchor moveWithCells="1">
                  <from>
                    <xdr:col>2</xdr:col>
                    <xdr:colOff>579120</xdr:colOff>
                    <xdr:row>1</xdr:row>
                    <xdr:rowOff>228600</xdr:rowOff>
                  </from>
                  <to>
                    <xdr:col>3</xdr:col>
                    <xdr:colOff>670560</xdr:colOff>
                    <xdr:row>1</xdr:row>
                    <xdr:rowOff>449580</xdr:rowOff>
                  </to>
                </anchor>
              </controlPr>
            </control>
          </mc:Choice>
        </mc:AlternateContent>
        <mc:AlternateContent xmlns:mc="http://schemas.openxmlformats.org/markup-compatibility/2006">
          <mc:Choice Requires="x14">
            <control shapeId="1026" r:id="rId8" name="Check Box 2">
              <controlPr defaultSize="0" autoFill="0" autoLine="0" autoPict="0">
                <anchor moveWithCells="1">
                  <from>
                    <xdr:col>5</xdr:col>
                    <xdr:colOff>579120</xdr:colOff>
                    <xdr:row>1</xdr:row>
                    <xdr:rowOff>228600</xdr:rowOff>
                  </from>
                  <to>
                    <xdr:col>6</xdr:col>
                    <xdr:colOff>670560</xdr:colOff>
                    <xdr:row>1</xdr:row>
                    <xdr:rowOff>449580</xdr:rowOff>
                  </to>
                </anchor>
              </controlPr>
            </control>
          </mc:Choice>
        </mc:AlternateContent>
        <mc:AlternateContent xmlns:mc="http://schemas.openxmlformats.org/markup-compatibility/2006">
          <mc:Choice Requires="x14">
            <control shapeId="1028" r:id="rId9" name="Check Box 4">
              <controlPr defaultSize="0" autoFill="0" autoLine="0" autoPict="0">
                <anchor moveWithCells="1">
                  <from>
                    <xdr:col>5</xdr:col>
                    <xdr:colOff>396240</xdr:colOff>
                    <xdr:row>1</xdr:row>
                    <xdr:rowOff>251460</xdr:rowOff>
                  </from>
                  <to>
                    <xdr:col>6</xdr:col>
                    <xdr:colOff>434340</xdr:colOff>
                    <xdr:row>1</xdr:row>
                    <xdr:rowOff>472440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9</xdr:col>
                    <xdr:colOff>411480</xdr:colOff>
                    <xdr:row>1</xdr:row>
                    <xdr:rowOff>281940</xdr:rowOff>
                  </from>
                  <to>
                    <xdr:col>10</xdr:col>
                    <xdr:colOff>640080</xdr:colOff>
                    <xdr:row>1</xdr:row>
                    <xdr:rowOff>510540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15</xdr:col>
                    <xdr:colOff>434340</xdr:colOff>
                    <xdr:row>1</xdr:row>
                    <xdr:rowOff>243840</xdr:rowOff>
                  </from>
                  <to>
                    <xdr:col>16</xdr:col>
                    <xdr:colOff>807720</xdr:colOff>
                    <xdr:row>1</xdr:row>
                    <xdr:rowOff>464820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2</xdr:col>
                    <xdr:colOff>342900</xdr:colOff>
                    <xdr:row>1</xdr:row>
                    <xdr:rowOff>182880</xdr:rowOff>
                  </from>
                  <to>
                    <xdr:col>3</xdr:col>
                    <xdr:colOff>525780</xdr:colOff>
                    <xdr:row>1</xdr:row>
                    <xdr:rowOff>403860</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78D2-76AC-4B72-8B4E-047676F0E127}">
  <dimension ref="A1:L26"/>
  <sheetViews>
    <sheetView zoomScale="116" workbookViewId="0">
      <selection sqref="A1:L26"/>
    </sheetView>
  </sheetViews>
  <sheetFormatPr defaultRowHeight="13.8" x14ac:dyDescent="0.25"/>
  <cols>
    <col min="1" max="1" width="10.09765625" customWidth="1"/>
    <col min="2" max="2" width="17.3984375" customWidth="1"/>
    <col min="3" max="3" width="13" customWidth="1"/>
    <col min="9" max="9" width="10.09765625" customWidth="1"/>
    <col min="11" max="11" width="11.09765625" customWidth="1"/>
    <col min="12" max="12" width="18.69921875" customWidth="1"/>
  </cols>
  <sheetData>
    <row r="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t="s">
        <v>37</v>
      </c>
      <c r="C2" t="s">
        <v>62</v>
      </c>
      <c r="D2">
        <v>56</v>
      </c>
      <c r="E2">
        <v>65</v>
      </c>
      <c r="F2">
        <v>79</v>
      </c>
      <c r="G2">
        <v>79</v>
      </c>
      <c r="H2">
        <v>79</v>
      </c>
      <c r="I2">
        <f>SUM(D2:H2)</f>
        <v>358</v>
      </c>
      <c r="J2">
        <v>500</v>
      </c>
      <c r="K2" s="3">
        <f>((I2/J2)*100)</f>
        <v>71.599999999999994</v>
      </c>
      <c r="L2">
        <f>(((J2-I2)/J2)*100)</f>
        <v>28.4</v>
      </c>
    </row>
    <row r="3" spans="1:12" x14ac:dyDescent="0.25">
      <c r="A3" t="s">
        <v>13</v>
      </c>
      <c r="B3" t="s">
        <v>38</v>
      </c>
      <c r="C3" t="s">
        <v>63</v>
      </c>
      <c r="D3">
        <v>78</v>
      </c>
      <c r="E3">
        <v>64</v>
      </c>
      <c r="F3">
        <v>74</v>
      </c>
      <c r="G3">
        <v>79</v>
      </c>
      <c r="H3">
        <v>49</v>
      </c>
      <c r="I3">
        <f t="shared" ref="I3:I26" si="0">SUM(D3:H3)</f>
        <v>344</v>
      </c>
      <c r="J3">
        <v>500</v>
      </c>
      <c r="K3" s="3">
        <f t="shared" ref="K3:K26" si="1">((I3/J3)*100)</f>
        <v>68.8</v>
      </c>
      <c r="L3">
        <f t="shared" ref="L3:L26" si="2">(((J3-I3)/J3)*100)</f>
        <v>31.2</v>
      </c>
    </row>
    <row r="4" spans="1:12" x14ac:dyDescent="0.25">
      <c r="A4" t="s">
        <v>14</v>
      </c>
      <c r="B4" t="s">
        <v>39</v>
      </c>
      <c r="C4" t="s">
        <v>64</v>
      </c>
      <c r="D4">
        <v>76</v>
      </c>
      <c r="E4">
        <v>67</v>
      </c>
      <c r="F4">
        <v>19</v>
      </c>
      <c r="G4">
        <v>48</v>
      </c>
      <c r="H4">
        <v>48</v>
      </c>
      <c r="I4">
        <f t="shared" si="0"/>
        <v>258</v>
      </c>
      <c r="J4">
        <v>500</v>
      </c>
      <c r="K4" s="3">
        <f t="shared" si="1"/>
        <v>51.6</v>
      </c>
      <c r="L4">
        <f t="shared" si="2"/>
        <v>48.4</v>
      </c>
    </row>
    <row r="5" spans="1:12" x14ac:dyDescent="0.25">
      <c r="A5" t="s">
        <v>15</v>
      </c>
      <c r="B5" t="s">
        <v>40</v>
      </c>
      <c r="C5" t="s">
        <v>65</v>
      </c>
      <c r="D5">
        <v>67</v>
      </c>
      <c r="E5">
        <v>61</v>
      </c>
      <c r="F5">
        <v>76</v>
      </c>
      <c r="G5">
        <v>46</v>
      </c>
      <c r="H5">
        <v>44</v>
      </c>
      <c r="I5">
        <f t="shared" si="0"/>
        <v>294</v>
      </c>
      <c r="J5">
        <v>500</v>
      </c>
      <c r="K5" s="3">
        <f t="shared" si="1"/>
        <v>58.8</v>
      </c>
      <c r="L5">
        <f t="shared" si="2"/>
        <v>41.199999999999996</v>
      </c>
    </row>
    <row r="6" spans="1:12" x14ac:dyDescent="0.25">
      <c r="A6" t="s">
        <v>16</v>
      </c>
      <c r="B6" t="s">
        <v>41</v>
      </c>
      <c r="C6" t="s">
        <v>66</v>
      </c>
      <c r="D6">
        <v>69</v>
      </c>
      <c r="E6">
        <v>58</v>
      </c>
      <c r="F6">
        <v>72</v>
      </c>
      <c r="G6">
        <v>56</v>
      </c>
      <c r="H6">
        <v>55</v>
      </c>
      <c r="I6">
        <f t="shared" si="0"/>
        <v>310</v>
      </c>
      <c r="J6">
        <v>500</v>
      </c>
      <c r="K6" s="3">
        <f t="shared" si="1"/>
        <v>62</v>
      </c>
      <c r="L6">
        <f t="shared" si="2"/>
        <v>38</v>
      </c>
    </row>
    <row r="7" spans="1:12" x14ac:dyDescent="0.25">
      <c r="A7" t="s">
        <v>17</v>
      </c>
      <c r="B7" t="s">
        <v>42</v>
      </c>
      <c r="C7" t="s">
        <v>67</v>
      </c>
      <c r="D7">
        <v>65</v>
      </c>
      <c r="E7">
        <v>34</v>
      </c>
      <c r="F7">
        <v>64</v>
      </c>
      <c r="G7">
        <v>57</v>
      </c>
      <c r="H7">
        <v>56</v>
      </c>
      <c r="I7">
        <f t="shared" si="0"/>
        <v>276</v>
      </c>
      <c r="J7">
        <v>500</v>
      </c>
      <c r="K7" s="3">
        <f t="shared" si="1"/>
        <v>55.2</v>
      </c>
      <c r="L7">
        <f t="shared" si="2"/>
        <v>44.800000000000004</v>
      </c>
    </row>
    <row r="8" spans="1:12" x14ac:dyDescent="0.25">
      <c r="A8" t="s">
        <v>18</v>
      </c>
      <c r="B8" t="s">
        <v>43</v>
      </c>
      <c r="C8" t="s">
        <v>68</v>
      </c>
      <c r="D8">
        <v>36</v>
      </c>
      <c r="E8">
        <v>79</v>
      </c>
      <c r="F8">
        <v>58</v>
      </c>
      <c r="G8">
        <v>29</v>
      </c>
      <c r="H8">
        <v>75</v>
      </c>
      <c r="I8">
        <f t="shared" si="0"/>
        <v>277</v>
      </c>
      <c r="J8">
        <v>500</v>
      </c>
      <c r="K8" s="3">
        <f t="shared" si="1"/>
        <v>55.400000000000006</v>
      </c>
      <c r="L8">
        <f t="shared" si="2"/>
        <v>44.6</v>
      </c>
    </row>
    <row r="9" spans="1:12" x14ac:dyDescent="0.25">
      <c r="A9" t="s">
        <v>19</v>
      </c>
      <c r="B9" t="s">
        <v>44</v>
      </c>
      <c r="C9" t="s">
        <v>69</v>
      </c>
      <c r="D9">
        <v>79</v>
      </c>
      <c r="E9">
        <v>90</v>
      </c>
      <c r="F9">
        <v>59</v>
      </c>
      <c r="G9">
        <v>38</v>
      </c>
      <c r="H9">
        <v>59</v>
      </c>
      <c r="I9">
        <f t="shared" si="0"/>
        <v>325</v>
      </c>
      <c r="J9">
        <v>500</v>
      </c>
      <c r="K9" s="3">
        <f t="shared" si="1"/>
        <v>65</v>
      </c>
      <c r="L9">
        <f t="shared" si="2"/>
        <v>35</v>
      </c>
    </row>
    <row r="10" spans="1:12" x14ac:dyDescent="0.25">
      <c r="A10" t="s">
        <v>20</v>
      </c>
      <c r="B10" t="s">
        <v>45</v>
      </c>
      <c r="C10" t="s">
        <v>70</v>
      </c>
      <c r="D10">
        <v>89</v>
      </c>
      <c r="E10">
        <v>48</v>
      </c>
      <c r="F10">
        <v>46</v>
      </c>
      <c r="G10">
        <v>49</v>
      </c>
      <c r="H10">
        <v>53</v>
      </c>
      <c r="I10">
        <f t="shared" si="0"/>
        <v>285</v>
      </c>
      <c r="J10">
        <v>500</v>
      </c>
      <c r="K10" s="3">
        <f t="shared" si="1"/>
        <v>56.999999999999993</v>
      </c>
      <c r="L10">
        <f t="shared" si="2"/>
        <v>43</v>
      </c>
    </row>
    <row r="11" spans="1:12" x14ac:dyDescent="0.25">
      <c r="A11" t="s">
        <v>21</v>
      </c>
      <c r="B11" t="s">
        <v>46</v>
      </c>
      <c r="C11" t="s">
        <v>62</v>
      </c>
      <c r="D11">
        <v>67</v>
      </c>
      <c r="E11">
        <v>49</v>
      </c>
      <c r="F11">
        <v>49</v>
      </c>
      <c r="G11">
        <v>45</v>
      </c>
      <c r="H11">
        <v>29</v>
      </c>
      <c r="I11">
        <f t="shared" si="0"/>
        <v>239</v>
      </c>
      <c r="J11">
        <v>500</v>
      </c>
      <c r="K11" s="3">
        <f t="shared" si="1"/>
        <v>47.8</v>
      </c>
      <c r="L11">
        <f t="shared" si="2"/>
        <v>52.2</v>
      </c>
    </row>
    <row r="12" spans="1:12" x14ac:dyDescent="0.25">
      <c r="A12" t="s">
        <v>22</v>
      </c>
      <c r="B12" t="s">
        <v>47</v>
      </c>
      <c r="C12" t="s">
        <v>71</v>
      </c>
      <c r="D12">
        <v>58</v>
      </c>
      <c r="E12">
        <v>30</v>
      </c>
      <c r="F12">
        <v>34</v>
      </c>
      <c r="G12">
        <v>78</v>
      </c>
      <c r="H12">
        <v>37</v>
      </c>
      <c r="I12">
        <f t="shared" si="0"/>
        <v>237</v>
      </c>
      <c r="J12">
        <v>500</v>
      </c>
      <c r="K12" s="3">
        <f t="shared" si="1"/>
        <v>47.4</v>
      </c>
      <c r="L12">
        <f t="shared" si="2"/>
        <v>52.6</v>
      </c>
    </row>
    <row r="13" spans="1:12" x14ac:dyDescent="0.25">
      <c r="A13" t="s">
        <v>23</v>
      </c>
      <c r="B13" t="s">
        <v>48</v>
      </c>
      <c r="C13" t="s">
        <v>69</v>
      </c>
      <c r="D13">
        <v>68</v>
      </c>
      <c r="E13">
        <v>59</v>
      </c>
      <c r="F13">
        <v>19</v>
      </c>
      <c r="G13">
        <v>76</v>
      </c>
      <c r="H13">
        <v>35</v>
      </c>
      <c r="I13">
        <f t="shared" si="0"/>
        <v>257</v>
      </c>
      <c r="J13">
        <v>500</v>
      </c>
      <c r="K13" s="3">
        <f t="shared" si="1"/>
        <v>51.4</v>
      </c>
      <c r="L13">
        <f t="shared" si="2"/>
        <v>48.6</v>
      </c>
    </row>
    <row r="14" spans="1:12" x14ac:dyDescent="0.25">
      <c r="A14" t="s">
        <v>24</v>
      </c>
      <c r="B14" t="s">
        <v>49</v>
      </c>
      <c r="C14" t="s">
        <v>72</v>
      </c>
      <c r="D14">
        <v>63</v>
      </c>
      <c r="E14">
        <v>68</v>
      </c>
      <c r="F14">
        <v>76</v>
      </c>
      <c r="G14">
        <v>49</v>
      </c>
      <c r="H14">
        <v>36</v>
      </c>
      <c r="I14">
        <f t="shared" si="0"/>
        <v>292</v>
      </c>
      <c r="J14">
        <v>500</v>
      </c>
      <c r="K14" s="3">
        <f t="shared" si="1"/>
        <v>58.4</v>
      </c>
      <c r="L14">
        <f t="shared" si="2"/>
        <v>41.6</v>
      </c>
    </row>
    <row r="15" spans="1:12" x14ac:dyDescent="0.25">
      <c r="A15" t="s">
        <v>25</v>
      </c>
      <c r="B15" t="s">
        <v>50</v>
      </c>
      <c r="C15" t="s">
        <v>62</v>
      </c>
      <c r="D15">
        <v>65</v>
      </c>
      <c r="E15">
        <v>75</v>
      </c>
      <c r="F15">
        <v>49</v>
      </c>
      <c r="G15">
        <v>45</v>
      </c>
      <c r="H15">
        <v>59</v>
      </c>
      <c r="I15">
        <f t="shared" si="0"/>
        <v>293</v>
      </c>
      <c r="J15">
        <v>500</v>
      </c>
      <c r="K15" s="3">
        <f t="shared" si="1"/>
        <v>58.599999999999994</v>
      </c>
      <c r="L15">
        <f t="shared" si="2"/>
        <v>41.4</v>
      </c>
    </row>
    <row r="16" spans="1:12" x14ac:dyDescent="0.25">
      <c r="A16" t="s">
        <v>26</v>
      </c>
      <c r="B16" t="s">
        <v>51</v>
      </c>
      <c r="C16" t="s">
        <v>78</v>
      </c>
      <c r="D16">
        <v>64</v>
      </c>
      <c r="E16">
        <v>84</v>
      </c>
      <c r="F16">
        <v>82</v>
      </c>
      <c r="G16">
        <v>38</v>
      </c>
      <c r="H16">
        <v>64</v>
      </c>
      <c r="I16">
        <f t="shared" si="0"/>
        <v>332</v>
      </c>
      <c r="J16">
        <v>500</v>
      </c>
      <c r="K16" s="3">
        <f t="shared" si="1"/>
        <v>66.400000000000006</v>
      </c>
      <c r="L16">
        <f t="shared" si="2"/>
        <v>33.6</v>
      </c>
    </row>
    <row r="17" spans="1:12" x14ac:dyDescent="0.25">
      <c r="A17" t="s">
        <v>27</v>
      </c>
      <c r="B17" t="s">
        <v>52</v>
      </c>
      <c r="C17" t="s">
        <v>73</v>
      </c>
      <c r="D17">
        <v>90</v>
      </c>
      <c r="E17">
        <v>95</v>
      </c>
      <c r="F17">
        <v>43</v>
      </c>
      <c r="G17">
        <v>37</v>
      </c>
      <c r="H17">
        <v>66</v>
      </c>
      <c r="I17">
        <f t="shared" si="0"/>
        <v>331</v>
      </c>
      <c r="J17">
        <v>500</v>
      </c>
      <c r="K17" s="3">
        <f t="shared" si="1"/>
        <v>66.2</v>
      </c>
      <c r="L17">
        <f t="shared" si="2"/>
        <v>33.800000000000004</v>
      </c>
    </row>
    <row r="18" spans="1:12" x14ac:dyDescent="0.25">
      <c r="A18" t="s">
        <v>28</v>
      </c>
      <c r="B18" t="s">
        <v>53</v>
      </c>
      <c r="C18" t="s">
        <v>74</v>
      </c>
      <c r="D18">
        <v>81</v>
      </c>
      <c r="E18">
        <v>46</v>
      </c>
      <c r="F18">
        <v>76</v>
      </c>
      <c r="G18">
        <v>33</v>
      </c>
      <c r="H18">
        <v>35</v>
      </c>
      <c r="I18">
        <f t="shared" si="0"/>
        <v>271</v>
      </c>
      <c r="J18">
        <v>500</v>
      </c>
      <c r="K18" s="3">
        <f>((I18/J18)*100)</f>
        <v>54.2</v>
      </c>
      <c r="L18">
        <f t="shared" si="2"/>
        <v>45.800000000000004</v>
      </c>
    </row>
    <row r="19" spans="1:12" x14ac:dyDescent="0.25">
      <c r="A19" t="s">
        <v>29</v>
      </c>
      <c r="B19" t="s">
        <v>54</v>
      </c>
      <c r="C19" t="s">
        <v>75</v>
      </c>
      <c r="D19">
        <v>82</v>
      </c>
      <c r="E19">
        <v>79</v>
      </c>
      <c r="F19">
        <v>49</v>
      </c>
      <c r="G19">
        <v>44</v>
      </c>
      <c r="H19">
        <v>94</v>
      </c>
      <c r="I19">
        <f t="shared" si="0"/>
        <v>348</v>
      </c>
      <c r="J19">
        <v>500</v>
      </c>
      <c r="K19" s="3">
        <f t="shared" si="1"/>
        <v>69.599999999999994</v>
      </c>
      <c r="L19">
        <f t="shared" si="2"/>
        <v>30.4</v>
      </c>
    </row>
    <row r="20" spans="1:12" x14ac:dyDescent="0.25">
      <c r="A20" t="s">
        <v>30</v>
      </c>
      <c r="B20" t="s">
        <v>55</v>
      </c>
      <c r="C20" t="s">
        <v>75</v>
      </c>
      <c r="D20">
        <v>49</v>
      </c>
      <c r="E20">
        <v>48</v>
      </c>
      <c r="F20">
        <v>25</v>
      </c>
      <c r="G20">
        <v>97</v>
      </c>
      <c r="H20">
        <v>49</v>
      </c>
      <c r="I20">
        <f t="shared" si="0"/>
        <v>268</v>
      </c>
      <c r="J20">
        <v>500</v>
      </c>
      <c r="K20" s="3">
        <f t="shared" si="1"/>
        <v>53.6</v>
      </c>
      <c r="L20">
        <f t="shared" si="2"/>
        <v>46.400000000000006</v>
      </c>
    </row>
    <row r="21" spans="1:12" x14ac:dyDescent="0.25">
      <c r="A21" t="s">
        <v>31</v>
      </c>
      <c r="B21" t="s">
        <v>56</v>
      </c>
      <c r="C21" t="s">
        <v>69</v>
      </c>
      <c r="D21">
        <v>38</v>
      </c>
      <c r="E21">
        <v>95</v>
      </c>
      <c r="F21">
        <v>86</v>
      </c>
      <c r="G21">
        <v>49</v>
      </c>
      <c r="H21">
        <v>68</v>
      </c>
      <c r="I21">
        <f t="shared" si="0"/>
        <v>336</v>
      </c>
      <c r="J21">
        <v>500</v>
      </c>
      <c r="K21" s="3">
        <f t="shared" si="1"/>
        <v>67.2</v>
      </c>
      <c r="L21">
        <f t="shared" si="2"/>
        <v>32.800000000000004</v>
      </c>
    </row>
    <row r="22" spans="1:12" x14ac:dyDescent="0.25">
      <c r="A22" t="s">
        <v>32</v>
      </c>
      <c r="B22" t="s">
        <v>57</v>
      </c>
      <c r="C22" t="s">
        <v>69</v>
      </c>
      <c r="D22">
        <v>48</v>
      </c>
      <c r="E22">
        <v>84</v>
      </c>
      <c r="F22">
        <v>29</v>
      </c>
      <c r="G22">
        <v>38</v>
      </c>
      <c r="H22">
        <v>67</v>
      </c>
      <c r="I22">
        <f t="shared" si="0"/>
        <v>266</v>
      </c>
      <c r="J22">
        <v>500</v>
      </c>
      <c r="K22" s="3">
        <f t="shared" si="1"/>
        <v>53.2</v>
      </c>
      <c r="L22">
        <f t="shared" si="2"/>
        <v>46.800000000000004</v>
      </c>
    </row>
    <row r="23" spans="1:12" x14ac:dyDescent="0.25">
      <c r="A23" t="s">
        <v>33</v>
      </c>
      <c r="B23" t="s">
        <v>59</v>
      </c>
      <c r="C23" t="s">
        <v>76</v>
      </c>
      <c r="D23">
        <v>30</v>
      </c>
      <c r="E23">
        <v>79</v>
      </c>
      <c r="F23">
        <v>46</v>
      </c>
      <c r="G23">
        <v>46</v>
      </c>
      <c r="H23">
        <v>49</v>
      </c>
      <c r="I23">
        <f t="shared" si="0"/>
        <v>250</v>
      </c>
      <c r="J23">
        <v>500</v>
      </c>
      <c r="K23" s="3">
        <f t="shared" si="1"/>
        <v>50</v>
      </c>
      <c r="L23">
        <f t="shared" si="2"/>
        <v>50</v>
      </c>
    </row>
    <row r="24" spans="1:12" x14ac:dyDescent="0.25">
      <c r="A24" t="s">
        <v>34</v>
      </c>
      <c r="B24" t="s">
        <v>60</v>
      </c>
      <c r="C24" t="s">
        <v>63</v>
      </c>
      <c r="D24">
        <v>57</v>
      </c>
      <c r="E24">
        <v>62</v>
      </c>
      <c r="F24">
        <v>49</v>
      </c>
      <c r="G24">
        <v>47</v>
      </c>
      <c r="H24">
        <v>43</v>
      </c>
      <c r="I24">
        <f t="shared" si="0"/>
        <v>258</v>
      </c>
      <c r="J24">
        <v>500</v>
      </c>
      <c r="K24" s="3">
        <f t="shared" si="1"/>
        <v>51.6</v>
      </c>
      <c r="L24">
        <f t="shared" si="2"/>
        <v>48.4</v>
      </c>
    </row>
    <row r="25" spans="1:12" x14ac:dyDescent="0.25">
      <c r="A25" t="s">
        <v>35</v>
      </c>
      <c r="B25" t="s">
        <v>58</v>
      </c>
      <c r="C25" t="s">
        <v>77</v>
      </c>
      <c r="D25">
        <v>54</v>
      </c>
      <c r="E25">
        <v>69</v>
      </c>
      <c r="F25">
        <v>47</v>
      </c>
      <c r="G25">
        <v>46</v>
      </c>
      <c r="H25">
        <v>49</v>
      </c>
      <c r="I25">
        <f t="shared" si="0"/>
        <v>265</v>
      </c>
      <c r="J25">
        <v>500</v>
      </c>
      <c r="K25" s="3">
        <f t="shared" si="1"/>
        <v>53</v>
      </c>
      <c r="L25">
        <f t="shared" si="2"/>
        <v>47</v>
      </c>
    </row>
    <row r="26" spans="1:12" x14ac:dyDescent="0.25">
      <c r="A26" t="s">
        <v>36</v>
      </c>
      <c r="B26" t="s">
        <v>61</v>
      </c>
      <c r="C26" t="s">
        <v>76</v>
      </c>
      <c r="D26">
        <v>39</v>
      </c>
      <c r="E26">
        <v>67</v>
      </c>
      <c r="F26">
        <v>37</v>
      </c>
      <c r="G26">
        <v>42</v>
      </c>
      <c r="H26">
        <v>37</v>
      </c>
      <c r="I26">
        <f t="shared" si="0"/>
        <v>222</v>
      </c>
      <c r="J26">
        <v>500</v>
      </c>
      <c r="K26" s="3">
        <f t="shared" si="1"/>
        <v>44.4</v>
      </c>
      <c r="L26">
        <f t="shared" si="2"/>
        <v>55.600000000000009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Nawaz</dc:creator>
  <cp:lastModifiedBy>Mohammed Nawaz</cp:lastModifiedBy>
  <dcterms:created xsi:type="dcterms:W3CDTF">2025-08-17T04:21:37Z</dcterms:created>
  <dcterms:modified xsi:type="dcterms:W3CDTF">2025-10-30T03:09:25Z</dcterms:modified>
</cp:coreProperties>
</file>